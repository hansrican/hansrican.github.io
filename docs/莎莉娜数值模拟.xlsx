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5BD7FE58-CAE1-429A-BABA-B0DBF6D7C697}" xr6:coauthVersionLast="47" xr6:coauthVersionMax="47" xr10:uidLastSave="{00000000-0000-0000-0000-000000000000}"/>
  <bookViews>
    <workbookView xWindow="3804" yWindow="2832" windowWidth="19284" windowHeight="1272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1" l="1"/>
  <c r="G17" i="1"/>
  <c r="E19" i="1"/>
  <c r="E20" i="1" s="1"/>
  <c r="I9" i="1"/>
  <c r="I8" i="1"/>
  <c r="O10" i="1"/>
  <c r="O8" i="1"/>
  <c r="C15" i="1"/>
  <c r="C43" i="1"/>
  <c r="B43" i="1"/>
  <c r="A43" i="1"/>
  <c r="H12" i="1"/>
  <c r="H8" i="1"/>
  <c r="O17" i="1"/>
  <c r="O16" i="1"/>
  <c r="O15" i="1"/>
  <c r="F11" i="1"/>
  <c r="F14" i="1" s="1"/>
  <c r="S4" i="1" l="1"/>
  <c r="Q8" i="1"/>
  <c r="H2" i="1"/>
  <c r="O12" i="1" s="1"/>
  <c r="O5" i="1"/>
  <c r="F17" i="1" l="1"/>
  <c r="O2" i="1" s="1"/>
  <c r="Q2" i="1" l="1"/>
  <c r="F20" i="1"/>
  <c r="H5" i="1" l="1"/>
  <c r="M3" i="1" s="1"/>
  <c r="O26" i="1" s="1"/>
  <c r="S2" i="1"/>
  <c r="S10" i="1" s="1"/>
  <c r="G20" i="1"/>
  <c r="I5" i="1" s="1"/>
  <c r="M9" i="1"/>
  <c r="O32" i="1" s="1"/>
  <c r="M5" i="1"/>
  <c r="O28" i="1" s="1"/>
  <c r="O20" i="1"/>
  <c r="O22" i="1" s="1"/>
  <c r="M7" i="1"/>
  <c r="O30" i="1" s="1"/>
  <c r="Q18" i="1"/>
  <c r="Q14" i="1" s="1"/>
  <c r="Q12" i="1"/>
  <c r="O35" i="1" l="1"/>
  <c r="O37" i="1" s="1"/>
  <c r="M29" i="1"/>
  <c r="S41" i="1" s="1"/>
  <c r="Q16" i="1"/>
  <c r="M27" i="1" l="1"/>
  <c r="S39" i="1" s="1"/>
  <c r="N5" i="1"/>
  <c r="Q33" i="1" s="1"/>
  <c r="M19" i="1"/>
  <c r="S22" i="1" s="1"/>
  <c r="S31" i="1"/>
  <c r="N3" i="1"/>
  <c r="Q26" i="1" s="1"/>
  <c r="M23" i="1"/>
  <c r="S43" i="1" s="1"/>
  <c r="M15" i="1"/>
  <c r="S18" i="1" s="1"/>
  <c r="M17" i="1"/>
  <c r="S20" i="1" s="1"/>
  <c r="M13" i="1"/>
  <c r="S16" i="1" s="1"/>
  <c r="N7" i="1"/>
  <c r="Q38" i="1" s="1"/>
  <c r="M25" i="1"/>
  <c r="S37" i="1" s="1"/>
  <c r="Q31" i="1"/>
  <c r="Q35" i="1" s="1"/>
  <c r="Q24" i="1"/>
  <c r="Q28" i="1" s="1"/>
  <c r="N9" i="1"/>
  <c r="S35" i="1"/>
  <c r="S45" i="1" l="1"/>
  <c r="Q40" i="1"/>
  <c r="Q42" i="1" s="1"/>
  <c r="Q52" i="1" s="1"/>
  <c r="S25" i="1"/>
  <c r="B42" i="1" s="1"/>
  <c r="S48" i="1"/>
  <c r="S50" i="1" s="1"/>
  <c r="C44" i="1" s="1"/>
  <c r="Q47" i="1"/>
  <c r="Q45" i="1"/>
  <c r="Q49" i="1" s="1"/>
  <c r="S27" i="1" l="1"/>
  <c r="B44" i="1" s="1"/>
  <c r="C42" i="1"/>
  <c r="A48" i="1" s="1"/>
  <c r="Q54" i="1" l="1"/>
  <c r="A44" i="1" s="1"/>
  <c r="A42" i="1"/>
  <c r="A46" i="1" s="1"/>
  <c r="B46" i="1" l="1"/>
  <c r="C46" i="1"/>
</calcChain>
</file>

<file path=xl/sharedStrings.xml><?xml version="1.0" encoding="utf-8"?>
<sst xmlns="http://schemas.openxmlformats.org/spreadsheetml/2006/main" count="180" uniqueCount="134">
  <si>
    <t>基数区：</t>
    <phoneticPr fontId="1" type="noConversion"/>
  </si>
  <si>
    <t>白值=角色基础值+武器数值</t>
    <phoneticPr fontId="1" type="noConversion"/>
  </si>
  <si>
    <t>黄值=白值X百分比加成+其他数值加成</t>
    <phoneticPr fontId="1" type="noConversion"/>
  </si>
  <si>
    <t>倍率乘区：</t>
    <phoneticPr fontId="1" type="noConversion"/>
  </si>
  <si>
    <t>倍率X1+倍率提升</t>
    <phoneticPr fontId="1" type="noConversion"/>
  </si>
  <si>
    <t>伤害加成乘区：</t>
    <phoneticPr fontId="1" type="noConversion"/>
  </si>
  <si>
    <t>1+属性伤害+对应技能伤害</t>
    <phoneticPr fontId="1" type="noConversion"/>
  </si>
  <si>
    <t>伤害加深区</t>
    <phoneticPr fontId="1" type="noConversion"/>
  </si>
  <si>
    <t>单独乘算1+加深%</t>
    <phoneticPr fontId="1" type="noConversion"/>
  </si>
  <si>
    <t>暴击乘区：</t>
    <phoneticPr fontId="1" type="noConversion"/>
  </si>
  <si>
    <t>伤害加深区：</t>
    <phoneticPr fontId="1" type="noConversion"/>
  </si>
  <si>
    <t>暴击时乘区为暴击伤害本身，不暴击为1</t>
    <phoneticPr fontId="1" type="noConversion"/>
  </si>
  <si>
    <t>角色基础暴击伤害为150%</t>
    <phoneticPr fontId="1" type="noConversion"/>
  </si>
  <si>
    <t>暴击期望=暴击率X暴击伤害+（1-暴击率）</t>
    <phoneticPr fontId="1" type="noConversion"/>
  </si>
  <si>
    <t>防御乘区</t>
    <phoneticPr fontId="1" type="noConversion"/>
  </si>
  <si>
    <t>1-(防御力)/(防御力+800+8x攻击者等级)</t>
    <phoneticPr fontId="1" type="noConversion"/>
  </si>
  <si>
    <t>100+L/199+l+L</t>
    <phoneticPr fontId="1" type="noConversion"/>
  </si>
  <si>
    <t>L为角色等级 l为怪物等级</t>
    <phoneticPr fontId="1" type="noConversion"/>
  </si>
  <si>
    <t>抗性乘区</t>
    <phoneticPr fontId="1" type="noConversion"/>
  </si>
  <si>
    <t>(1-抗性)</t>
    <phoneticPr fontId="1" type="noConversion"/>
  </si>
  <si>
    <t>基础全属性为10%</t>
    <phoneticPr fontId="1" type="noConversion"/>
  </si>
  <si>
    <t>额外属性抗性分别为</t>
    <phoneticPr fontId="1" type="noConversion"/>
  </si>
  <si>
    <t>大世界30%</t>
    <phoneticPr fontId="1" type="noConversion"/>
  </si>
  <si>
    <t>深渊50%</t>
    <phoneticPr fontId="1" type="noConversion"/>
  </si>
  <si>
    <t>全息70%</t>
    <phoneticPr fontId="1" type="noConversion"/>
  </si>
  <si>
    <t>莎莉娜基本数值：</t>
    <phoneticPr fontId="1" type="noConversion"/>
  </si>
  <si>
    <t>基础值：</t>
    <phoneticPr fontId="1" type="noConversion"/>
  </si>
  <si>
    <t>攻击力37，满级462</t>
    <phoneticPr fontId="1" type="noConversion"/>
  </si>
  <si>
    <t>专武数值</t>
    <phoneticPr fontId="1" type="noConversion"/>
  </si>
  <si>
    <t>主次条675攻击力 副词条大攻击加成18.2%</t>
    <phoneticPr fontId="1" type="noConversion"/>
  </si>
  <si>
    <t>专武特效</t>
    <phoneticPr fontId="1" type="noConversion"/>
  </si>
  <si>
    <t>攻击力提升12%，无视8%防御</t>
    <phoneticPr fontId="1" type="noConversion"/>
  </si>
  <si>
    <t>超过5000攻击力部分每500攻击力增加10湮灭加成</t>
    <phoneticPr fontId="1" type="noConversion"/>
  </si>
  <si>
    <t>精五为攻击力提升24%，无视16%防御力</t>
    <phoneticPr fontId="1" type="noConversion"/>
  </si>
  <si>
    <t>套装效果：</t>
    <phoneticPr fontId="1" type="noConversion"/>
  </si>
  <si>
    <t>2件套湮灭属性加成10%</t>
    <phoneticPr fontId="1" type="noConversion"/>
  </si>
  <si>
    <t>天赋给予12%攻击提升 12%湮灭伤害加成提升。</t>
    <phoneticPr fontId="1" type="noConversion"/>
  </si>
  <si>
    <t>基础攻击力1137</t>
    <phoneticPr fontId="1" type="noConversion"/>
  </si>
  <si>
    <t>声骇主词条350固定值+129%主词条大攻击加成</t>
    <phoneticPr fontId="1" type="noConversion"/>
  </si>
  <si>
    <t>专武以及天赋共24%大攻击加成</t>
    <phoneticPr fontId="1" type="noConversion"/>
  </si>
  <si>
    <t>专武副词条18.2%大攻击加成</t>
    <phoneticPr fontId="1" type="noConversion"/>
  </si>
  <si>
    <t>声骇套装副词条为</t>
    <phoneticPr fontId="1" type="noConversion"/>
  </si>
  <si>
    <t>大攻击41.6% 暴击40.5% 爆伤84.6% 共解18%</t>
    <phoneticPr fontId="1" type="noConversion"/>
  </si>
  <si>
    <t>额外暴击率为40.5%   额外爆伤为84.6%</t>
    <phoneticPr fontId="1" type="noConversion"/>
  </si>
  <si>
    <t>魔剑倍率</t>
    <phoneticPr fontId="1" type="noConversion"/>
  </si>
  <si>
    <t>怪物等级</t>
    <phoneticPr fontId="1" type="noConversion"/>
  </si>
  <si>
    <t>角色等级</t>
    <phoneticPr fontId="1" type="noConversion"/>
  </si>
  <si>
    <t>怪物防御</t>
    <phoneticPr fontId="1" type="noConversion"/>
  </si>
  <si>
    <t>有效防御</t>
    <phoneticPr fontId="1" type="noConversion"/>
  </si>
  <si>
    <t>增伤乘区</t>
    <phoneticPr fontId="1" type="noConversion"/>
  </si>
  <si>
    <t>攻击力</t>
    <phoneticPr fontId="1" type="noConversion"/>
  </si>
  <si>
    <t>专武增伤</t>
    <phoneticPr fontId="1" type="noConversion"/>
  </si>
  <si>
    <t>套装增伤</t>
    <phoneticPr fontId="1" type="noConversion"/>
  </si>
  <si>
    <t>天赋增伤</t>
    <phoneticPr fontId="1" type="noConversion"/>
  </si>
  <si>
    <t>副词条增伤</t>
    <phoneticPr fontId="1" type="noConversion"/>
  </si>
  <si>
    <t>加深乘区</t>
    <phoneticPr fontId="1" type="noConversion"/>
  </si>
  <si>
    <t>套装加深</t>
    <phoneticPr fontId="1" type="noConversion"/>
  </si>
  <si>
    <t>队友共解加深</t>
    <phoneticPr fontId="1" type="noConversion"/>
  </si>
  <si>
    <t>队友全属性加深</t>
    <phoneticPr fontId="1" type="noConversion"/>
  </si>
  <si>
    <t>有队友</t>
    <phoneticPr fontId="1" type="noConversion"/>
  </si>
  <si>
    <t>固有增伤1</t>
    <phoneticPr fontId="1" type="noConversion"/>
  </si>
  <si>
    <t>固有增伤2</t>
    <phoneticPr fontId="1" type="noConversion"/>
  </si>
  <si>
    <t>固有增伤3</t>
    <phoneticPr fontId="1" type="noConversion"/>
  </si>
  <si>
    <t>固有增伤4</t>
    <phoneticPr fontId="1" type="noConversion"/>
  </si>
  <si>
    <t>二链后</t>
    <phoneticPr fontId="1" type="noConversion"/>
  </si>
  <si>
    <t>六链后</t>
    <phoneticPr fontId="1" type="noConversion"/>
  </si>
  <si>
    <t>第一剑</t>
    <phoneticPr fontId="1" type="noConversion"/>
  </si>
  <si>
    <t>第二剑</t>
    <phoneticPr fontId="1" type="noConversion"/>
  </si>
  <si>
    <t>第三剑</t>
    <phoneticPr fontId="1" type="noConversion"/>
  </si>
  <si>
    <t>第四剑</t>
    <phoneticPr fontId="1" type="noConversion"/>
  </si>
  <si>
    <t>0链魔剑增伤</t>
    <phoneticPr fontId="1" type="noConversion"/>
  </si>
  <si>
    <t>2链魔剑增伤</t>
    <phoneticPr fontId="1" type="noConversion"/>
  </si>
  <si>
    <t>六剑魔剑增伤</t>
    <phoneticPr fontId="1" type="noConversion"/>
  </si>
  <si>
    <t>伤害加成单独计算</t>
    <phoneticPr fontId="1" type="noConversion"/>
  </si>
  <si>
    <t>暴击乘区</t>
    <phoneticPr fontId="1" type="noConversion"/>
  </si>
  <si>
    <t>暴击率</t>
    <phoneticPr fontId="1" type="noConversion"/>
  </si>
  <si>
    <t>暴击伤害</t>
    <phoneticPr fontId="1" type="noConversion"/>
  </si>
  <si>
    <t>暴击期望</t>
    <phoneticPr fontId="1" type="noConversion"/>
  </si>
  <si>
    <t>0链无队友魔剑基础伤害</t>
    <phoneticPr fontId="1" type="noConversion"/>
  </si>
  <si>
    <t>抗性</t>
    <phoneticPr fontId="1" type="noConversion"/>
  </si>
  <si>
    <t>魔剑未暴击伤害</t>
    <phoneticPr fontId="1" type="noConversion"/>
  </si>
  <si>
    <t>魔剑暴击伤害</t>
    <phoneticPr fontId="1" type="noConversion"/>
  </si>
  <si>
    <t>真实期望伤害计算</t>
    <phoneticPr fontId="1" type="noConversion"/>
  </si>
  <si>
    <t>一轮次总伤害</t>
    <phoneticPr fontId="1" type="noConversion"/>
  </si>
  <si>
    <t>DPS   60s</t>
    <phoneticPr fontId="1" type="noConversion"/>
  </si>
  <si>
    <t>有队友情况</t>
    <phoneticPr fontId="1" type="noConversion"/>
  </si>
  <si>
    <t>花店老板暴击补足伤害</t>
    <phoneticPr fontId="1" type="noConversion"/>
  </si>
  <si>
    <t>有队友魔剑未暴击伤害</t>
    <phoneticPr fontId="1" type="noConversion"/>
  </si>
  <si>
    <t>花店老板补足的伤害</t>
    <phoneticPr fontId="1" type="noConversion"/>
  </si>
  <si>
    <t>补足后魔剑未暴击伤害</t>
    <phoneticPr fontId="1" type="noConversion"/>
  </si>
  <si>
    <t>有队友魔剑暴击伤害</t>
    <phoneticPr fontId="1" type="noConversion"/>
  </si>
  <si>
    <t>第一剑暴击</t>
    <phoneticPr fontId="1" type="noConversion"/>
  </si>
  <si>
    <t>第一剑未暴击</t>
    <phoneticPr fontId="1" type="noConversion"/>
  </si>
  <si>
    <t>第一剑期望伤害</t>
    <phoneticPr fontId="1" type="noConversion"/>
  </si>
  <si>
    <t>第二剑暴击</t>
    <phoneticPr fontId="1" type="noConversion"/>
  </si>
  <si>
    <t>第二剑未暴击</t>
    <phoneticPr fontId="1" type="noConversion"/>
  </si>
  <si>
    <t xml:space="preserve">第二剑期望伤害 </t>
    <phoneticPr fontId="1" type="noConversion"/>
  </si>
  <si>
    <t>第三剑暴击</t>
    <phoneticPr fontId="1" type="noConversion"/>
  </si>
  <si>
    <t>第三剑未暴击</t>
    <phoneticPr fontId="1" type="noConversion"/>
  </si>
  <si>
    <t>第三剑期望伤害</t>
    <phoneticPr fontId="1" type="noConversion"/>
  </si>
  <si>
    <t>第四剑暴击</t>
    <phoneticPr fontId="1" type="noConversion"/>
  </si>
  <si>
    <t>第四剑未暴击</t>
    <phoneticPr fontId="1" type="noConversion"/>
  </si>
  <si>
    <t>第四剑期望伤害</t>
    <phoneticPr fontId="1" type="noConversion"/>
  </si>
  <si>
    <t>有队友轮次总伤害</t>
    <phoneticPr fontId="1" type="noConversion"/>
  </si>
  <si>
    <t>DPS 60s</t>
    <phoneticPr fontId="1" type="noConversion"/>
  </si>
  <si>
    <t>首位声骇</t>
    <phoneticPr fontId="1" type="noConversion"/>
  </si>
  <si>
    <t>0链有队友魔剑基础伤害</t>
    <phoneticPr fontId="1" type="noConversion"/>
  </si>
  <si>
    <t>转换后</t>
    <phoneticPr fontId="1" type="noConversion"/>
  </si>
  <si>
    <t>3链有队友魔剑基础伤害</t>
    <phoneticPr fontId="1" type="noConversion"/>
  </si>
  <si>
    <t>真实伤害计算</t>
    <phoneticPr fontId="1" type="noConversion"/>
  </si>
  <si>
    <t>DPS 60S</t>
    <phoneticPr fontId="1" type="noConversion"/>
  </si>
  <si>
    <t>6链有队友魔剑暴击伤害</t>
    <phoneticPr fontId="1" type="noConversion"/>
  </si>
  <si>
    <t>第二轮次第一剑</t>
    <phoneticPr fontId="1" type="noConversion"/>
  </si>
  <si>
    <t>第二轮次第二剑</t>
    <phoneticPr fontId="1" type="noConversion"/>
  </si>
  <si>
    <t>0链伤害</t>
    <phoneticPr fontId="1" type="noConversion"/>
  </si>
  <si>
    <t>3链伤害</t>
    <phoneticPr fontId="1" type="noConversion"/>
  </si>
  <si>
    <t>6链伤害</t>
    <phoneticPr fontId="1" type="noConversion"/>
  </si>
  <si>
    <t>与0链伤害对比</t>
    <phoneticPr fontId="1" type="noConversion"/>
  </si>
  <si>
    <t>6链相比3链提升：</t>
    <phoneticPr fontId="1" type="noConversion"/>
  </si>
  <si>
    <t>基础攻击力</t>
    <phoneticPr fontId="1" type="noConversion"/>
  </si>
  <si>
    <t>专武副词条</t>
    <phoneticPr fontId="1" type="noConversion"/>
  </si>
  <si>
    <t>套装</t>
    <phoneticPr fontId="1" type="noConversion"/>
  </si>
  <si>
    <t>声骇副词条</t>
    <phoneticPr fontId="1" type="noConversion"/>
  </si>
  <si>
    <t>副词条</t>
    <phoneticPr fontId="1" type="noConversion"/>
  </si>
  <si>
    <t>转换比例</t>
    <phoneticPr fontId="1" type="noConversion"/>
  </si>
  <si>
    <t>至多60%</t>
    <phoneticPr fontId="1" type="noConversion"/>
  </si>
  <si>
    <t>增加20%湮灭，最多120%</t>
    <phoneticPr fontId="1" type="noConversion"/>
  </si>
  <si>
    <t>生命值380，满级6000</t>
    <phoneticPr fontId="1" type="noConversion"/>
  </si>
  <si>
    <t>莎莉娜攻击力</t>
    <phoneticPr fontId="1" type="noConversion"/>
  </si>
  <si>
    <t>首位声骇提供12%湮灭伤害加成 12%共解伤害加成</t>
    <phoneticPr fontId="1" type="noConversion"/>
  </si>
  <si>
    <t>花店老板增伤区间</t>
    <phoneticPr fontId="1" type="noConversion"/>
  </si>
  <si>
    <t>大于5500攻击力则增加25%共鸣解放伤害加深。</t>
    <phoneticPr fontId="1" type="noConversion"/>
  </si>
  <si>
    <t>声骸套装攻击力加成</t>
    <phoneticPr fontId="1" type="noConversion"/>
  </si>
  <si>
    <t>5件套大于3500攻击力时，提供50%攻击力加成，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</si>
</sst>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 "/>
    <numFmt numFmtId="177" formatCode="0\,0,&quot;万&quot;"/>
    <numFmt numFmtId="178" formatCode="0_ "/>
    <numFmt numFmtId="179" formatCode="0.0000%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6100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>
      <alignment vertical="center"/>
    </xf>
  </cellStyleXfs>
  <cellXfs count="8">
    <xf numFmtId="0" fontId="0" fillId="0" borderId="0" xfId="0"/>
    <xf numFmtId="9" fontId="0" fillId="0" borderId="0" xfId="0" applyNumberFormat="1"/>
    <xf numFmtId="176" fontId="0" fillId="0" borderId="0" xfId="0" applyNumberFormat="1"/>
    <xf numFmtId="177" fontId="0" fillId="0" borderId="0" xfId="0" applyNumberFormat="1"/>
    <xf numFmtId="10" fontId="0" fillId="0" borderId="0" xfId="0" applyNumberFormat="1"/>
    <xf numFmtId="178" fontId="0" fillId="0" borderId="0" xfId="0" applyNumberFormat="1"/>
    <xf numFmtId="179" fontId="0" fillId="0" borderId="0" xfId="0" applyNumberFormat="1"/>
    <xf numFmtId="0" fontId="2" fillId="2" borderId="0" xfId="1" applyAlignment="1"/>
  </cellXfs>
  <cellStyles count="2">
    <cellStyle name="常规" xfId="0" builtinId="0"/>
    <cellStyle name="好" xfId="1" builtinId="26"/>
  </cellStyles>
  <dxfs count="6">
    <dxf>
      <numFmt numFmtId="13" formatCode="0%"/>
    </dxf>
    <dxf>
      <numFmt numFmtId="177" formatCode="0\,0,&quot;万&quot;"/>
    </dxf>
    <dxf>
      <numFmt numFmtId="14" formatCode="0.00%"/>
    </dxf>
    <dxf>
      <numFmt numFmtId="177" formatCode="0\,0,&quot;万&quot;"/>
    </dxf>
    <dxf>
      <numFmt numFmtId="13" formatCode="0%"/>
    </dxf>
    <dxf>
      <numFmt numFmtId="177" formatCode="0\,0,&quot;万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9336;&#22522;&#26412;&#25968;&#20540;&#27169;&#25311;.xlsx" TargetMode="External"/><Relationship Id="rId1" Type="http://schemas.openxmlformats.org/officeDocument/2006/relationships/externalLinkPath" Target="&#39336;&#22522;&#26412;&#25968;&#20540;&#27169;&#2531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6">
          <cell r="G6">
            <v>7753.5754999999999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BB54D7-1758-44AD-875E-FF5C0889A3E2}" name="表2" displayName="表2" ref="A41:C46" totalsRowCount="1">
  <autoFilter ref="A41:C45" xr:uid="{43BB54D7-1758-44AD-875E-FF5C0889A3E2}"/>
  <tableColumns count="3">
    <tableColumn id="1" xr3:uid="{24C905B9-1B95-44F6-94A0-C5E330066F20}" name="0链伤害" totalsRowFunction="custom" dataDxfId="5" totalsRowDxfId="4">
      <calculatedColumnFormula>Q52</calculatedColumnFormula>
      <totalsRowFormula>(A42-A42)/A42</totalsRowFormula>
    </tableColumn>
    <tableColumn id="2" xr3:uid="{7A569DB4-8463-4E63-8057-AB22A02E8ED5}" name="3链伤害" totalsRowFunction="custom" dataDxfId="3" totalsRowDxfId="2">
      <calculatedColumnFormula>S25</calculatedColumnFormula>
      <totalsRowFormula>(B42-A42)/A42</totalsRowFormula>
    </tableColumn>
    <tableColumn id="3" xr3:uid="{A47CF216-B935-4BFC-B928-EBA2494E8E83}" name="6链伤害" totalsRowFunction="custom" dataDxfId="1" totalsRowDxfId="0">
      <calculatedColumnFormula>S48</calculatedColumnFormula>
      <totalsRowFormula>(C42-A42)/A42</totalsRow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4"/>
  <sheetViews>
    <sheetView tabSelected="1" zoomScale="85" zoomScaleNormal="85" workbookViewId="0">
      <selection activeCell="G20" sqref="G20"/>
    </sheetView>
  </sheetViews>
  <sheetFormatPr defaultRowHeight="13.8" x14ac:dyDescent="0.25"/>
  <cols>
    <col min="1" max="1" width="37.44140625" customWidth="1"/>
    <col min="2" max="2" width="46.109375" customWidth="1"/>
    <col min="3" max="3" width="41.33203125" customWidth="1"/>
    <col min="6" max="6" width="14.88671875" customWidth="1"/>
    <col min="13" max="13" width="10.88671875" customWidth="1"/>
    <col min="15" max="15" width="26.6640625" customWidth="1"/>
    <col min="17" max="17" width="32.21875" customWidth="1"/>
    <col min="18" max="18" width="8.88671875" customWidth="1"/>
    <col min="19" max="19" width="40.44140625" customWidth="1"/>
  </cols>
  <sheetData>
    <row r="1" spans="1:19" x14ac:dyDescent="0.25">
      <c r="A1" s="7" t="s">
        <v>0</v>
      </c>
      <c r="B1" t="s">
        <v>25</v>
      </c>
      <c r="C1" t="s">
        <v>119</v>
      </c>
      <c r="E1" t="s">
        <v>75</v>
      </c>
      <c r="F1" t="s">
        <v>44</v>
      </c>
      <c r="H1" t="s">
        <v>14</v>
      </c>
      <c r="K1" t="s">
        <v>60</v>
      </c>
      <c r="M1" t="s">
        <v>70</v>
      </c>
      <c r="N1" t="s">
        <v>59</v>
      </c>
      <c r="O1" t="s">
        <v>78</v>
      </c>
      <c r="Q1" t="s">
        <v>106</v>
      </c>
      <c r="S1" t="s">
        <v>108</v>
      </c>
    </row>
    <row r="2" spans="1:19" x14ac:dyDescent="0.25">
      <c r="A2" s="7" t="s">
        <v>1</v>
      </c>
      <c r="B2" t="s">
        <v>26</v>
      </c>
      <c r="C2">
        <v>1137</v>
      </c>
      <c r="E2" s="1">
        <v>0.5</v>
      </c>
      <c r="F2" s="1">
        <v>50</v>
      </c>
      <c r="H2" s="2">
        <f>1-(F14)/(F14+800+8*F8)</f>
        <v>0.50927415031628609</v>
      </c>
      <c r="K2" s="1">
        <v>0.05</v>
      </c>
      <c r="M2" t="s">
        <v>66</v>
      </c>
      <c r="O2" s="3">
        <f>F17*F2</f>
        <v>345041.27500000002</v>
      </c>
      <c r="Q2" s="3">
        <f>G17*F2</f>
        <v>387678.77500000002</v>
      </c>
      <c r="S2" s="3">
        <f>F3*G17</f>
        <v>387678.77500000002</v>
      </c>
    </row>
    <row r="3" spans="1:19" x14ac:dyDescent="0.25">
      <c r="A3" s="7" t="s">
        <v>2</v>
      </c>
      <c r="B3" t="s">
        <v>127</v>
      </c>
      <c r="C3" t="s">
        <v>30</v>
      </c>
      <c r="E3" t="s">
        <v>76</v>
      </c>
      <c r="F3" s="1">
        <v>50</v>
      </c>
      <c r="M3" s="1">
        <f>H5+K2</f>
        <v>0.99</v>
      </c>
      <c r="N3" s="4">
        <f>I5+K2</f>
        <v>1.19</v>
      </c>
      <c r="O3" t="s">
        <v>73</v>
      </c>
      <c r="S3" t="s">
        <v>7</v>
      </c>
    </row>
    <row r="4" spans="1:19" x14ac:dyDescent="0.25">
      <c r="B4" t="s">
        <v>27</v>
      </c>
      <c r="C4" s="1">
        <v>0.12</v>
      </c>
      <c r="E4" s="1">
        <v>2</v>
      </c>
      <c r="F4" t="s">
        <v>45</v>
      </c>
      <c r="H4" t="s">
        <v>49</v>
      </c>
      <c r="I4" t="s">
        <v>59</v>
      </c>
      <c r="K4" t="s">
        <v>61</v>
      </c>
      <c r="M4" t="s">
        <v>67</v>
      </c>
      <c r="O4" t="s">
        <v>7</v>
      </c>
      <c r="Q4" t="s">
        <v>85</v>
      </c>
      <c r="S4" s="1">
        <f>H8*I9*I8</f>
        <v>2.34375</v>
      </c>
    </row>
    <row r="5" spans="1:19" x14ac:dyDescent="0.25">
      <c r="A5" s="7" t="s">
        <v>3</v>
      </c>
      <c r="C5" t="s">
        <v>120</v>
      </c>
      <c r="F5">
        <v>100</v>
      </c>
      <c r="H5" s="1">
        <f>F20+F23+F26+F29+H12</f>
        <v>0.94</v>
      </c>
      <c r="I5" s="4">
        <f>G20+F23+F26+F29+H12</f>
        <v>1.1399999999999999</v>
      </c>
      <c r="K5" s="1">
        <v>0.1</v>
      </c>
      <c r="M5" s="1">
        <f>H5+K5</f>
        <v>1.04</v>
      </c>
      <c r="N5" s="1">
        <f>I5+K5</f>
        <v>1.24</v>
      </c>
      <c r="O5" s="1">
        <f>H8</f>
        <v>1.25</v>
      </c>
      <c r="Q5" t="s">
        <v>86</v>
      </c>
      <c r="S5" t="s">
        <v>75</v>
      </c>
    </row>
    <row r="6" spans="1:19" x14ac:dyDescent="0.25">
      <c r="A6" s="7" t="s">
        <v>4</v>
      </c>
      <c r="B6" t="s">
        <v>28</v>
      </c>
      <c r="C6" s="4">
        <v>0.182</v>
      </c>
      <c r="M6" t="s">
        <v>68</v>
      </c>
      <c r="O6" t="s">
        <v>74</v>
      </c>
      <c r="Q6" s="1">
        <v>0.15</v>
      </c>
      <c r="S6" s="1">
        <v>1</v>
      </c>
    </row>
    <row r="7" spans="1:19" x14ac:dyDescent="0.25">
      <c r="B7" t="s">
        <v>29</v>
      </c>
      <c r="C7" t="s">
        <v>122</v>
      </c>
      <c r="E7" t="s">
        <v>79</v>
      </c>
      <c r="F7" t="s">
        <v>46</v>
      </c>
      <c r="H7" t="s">
        <v>55</v>
      </c>
      <c r="I7" t="s">
        <v>59</v>
      </c>
      <c r="K7" t="s">
        <v>62</v>
      </c>
      <c r="M7" s="1">
        <f>H5+K8</f>
        <v>1.0899999999999999</v>
      </c>
      <c r="N7" s="1">
        <f>I5+K8</f>
        <v>1.2899999999999998</v>
      </c>
      <c r="O7" t="s">
        <v>77</v>
      </c>
      <c r="Q7" t="s">
        <v>7</v>
      </c>
      <c r="S7" t="s">
        <v>76</v>
      </c>
    </row>
    <row r="8" spans="1:19" x14ac:dyDescent="0.25">
      <c r="A8" s="7" t="s">
        <v>5</v>
      </c>
      <c r="B8" t="s">
        <v>30</v>
      </c>
      <c r="C8" s="4">
        <v>0.41599999999999998</v>
      </c>
      <c r="E8" s="1">
        <v>0.1</v>
      </c>
      <c r="F8">
        <v>90</v>
      </c>
      <c r="H8" s="1">
        <f>1+F32</f>
        <v>1.25</v>
      </c>
      <c r="I8" s="1">
        <f>1+F38</f>
        <v>1.25</v>
      </c>
      <c r="K8" s="1">
        <v>0.15</v>
      </c>
      <c r="M8" t="s">
        <v>69</v>
      </c>
      <c r="O8" s="1">
        <f>E2*E4+(1-E2)</f>
        <v>1.5</v>
      </c>
      <c r="Q8" s="1">
        <f>H8*I9*I8</f>
        <v>2.34375</v>
      </c>
      <c r="S8" s="1">
        <v>2.5</v>
      </c>
    </row>
    <row r="9" spans="1:19" x14ac:dyDescent="0.25">
      <c r="A9" s="7" t="s">
        <v>6</v>
      </c>
      <c r="B9" t="s">
        <v>31</v>
      </c>
      <c r="C9" t="s">
        <v>123</v>
      </c>
      <c r="E9" s="1">
        <v>0.3</v>
      </c>
      <c r="I9" s="1">
        <f>1+F35</f>
        <v>1.5</v>
      </c>
      <c r="M9" s="1">
        <f>H5+K11</f>
        <v>1.1399999999999999</v>
      </c>
      <c r="N9" s="4">
        <f>I5+K11</f>
        <v>1.3399999999999999</v>
      </c>
      <c r="O9" t="s">
        <v>76</v>
      </c>
      <c r="Q9" s="1" t="s">
        <v>130</v>
      </c>
      <c r="S9" t="s">
        <v>90</v>
      </c>
    </row>
    <row r="10" spans="1:19" x14ac:dyDescent="0.25">
      <c r="B10" t="s">
        <v>32</v>
      </c>
      <c r="C10" s="4">
        <v>0.40500000000000003</v>
      </c>
      <c r="E10" s="1">
        <v>0.5</v>
      </c>
      <c r="F10" t="s">
        <v>47</v>
      </c>
      <c r="K10" t="s">
        <v>63</v>
      </c>
      <c r="O10" s="1">
        <f>E4</f>
        <v>2</v>
      </c>
      <c r="Q10" s="1">
        <v>0.5</v>
      </c>
      <c r="S10" s="3">
        <f>S2*S8*O12*(H5+1)*O14*Q8</f>
        <v>2019850.3339991383</v>
      </c>
    </row>
    <row r="11" spans="1:19" x14ac:dyDescent="0.25">
      <c r="A11" s="7" t="s">
        <v>10</v>
      </c>
      <c r="B11" t="s">
        <v>125</v>
      </c>
      <c r="C11" s="4">
        <v>1.32</v>
      </c>
      <c r="E11" s="1">
        <v>0.7</v>
      </c>
      <c r="F11" s="2">
        <f>792+8*F5</f>
        <v>1592</v>
      </c>
      <c r="H11" t="s">
        <v>105</v>
      </c>
      <c r="K11" s="1">
        <v>0.2</v>
      </c>
      <c r="M11" t="s">
        <v>71</v>
      </c>
      <c r="O11" t="s">
        <v>14</v>
      </c>
      <c r="Q11" t="s">
        <v>87</v>
      </c>
    </row>
    <row r="12" spans="1:19" x14ac:dyDescent="0.25">
      <c r="A12" s="7" t="s">
        <v>8</v>
      </c>
      <c r="C12" s="1">
        <v>0.2</v>
      </c>
      <c r="H12" s="1">
        <f>H13+H14</f>
        <v>0.24</v>
      </c>
      <c r="M12" t="s">
        <v>66</v>
      </c>
      <c r="O12" s="2">
        <f>H2</f>
        <v>0.50927415031628609</v>
      </c>
      <c r="Q12" s="3">
        <f>Q2*Q8*O12*(H5+1)*O14</f>
        <v>807940.13359965524</v>
      </c>
    </row>
    <row r="13" spans="1:19" x14ac:dyDescent="0.25">
      <c r="B13" t="s">
        <v>33</v>
      </c>
      <c r="C13" s="1">
        <v>0.1</v>
      </c>
      <c r="F13" t="s">
        <v>48</v>
      </c>
      <c r="H13" s="1">
        <v>0.12</v>
      </c>
      <c r="K13" t="s">
        <v>64</v>
      </c>
      <c r="M13" s="1">
        <f>I5+K15</f>
        <v>1.24</v>
      </c>
      <c r="N13" s="1"/>
      <c r="O13" t="s">
        <v>18</v>
      </c>
      <c r="Q13" t="s">
        <v>88</v>
      </c>
    </row>
    <row r="14" spans="1:19" x14ac:dyDescent="0.25">
      <c r="A14" s="7" t="s">
        <v>9</v>
      </c>
      <c r="B14" t="s">
        <v>126</v>
      </c>
      <c r="C14" t="s">
        <v>124</v>
      </c>
      <c r="F14" s="2">
        <f>0.92*F11</f>
        <v>1464.64</v>
      </c>
      <c r="H14" s="1">
        <v>0.12</v>
      </c>
      <c r="K14" t="s">
        <v>60</v>
      </c>
      <c r="M14" t="s">
        <v>67</v>
      </c>
      <c r="O14" s="1">
        <v>0.9</v>
      </c>
      <c r="Q14" s="3">
        <f>Q18*Q6*(1+Q10)</f>
        <v>363573.06011984486</v>
      </c>
      <c r="S14" t="s">
        <v>109</v>
      </c>
    </row>
    <row r="15" spans="1:19" x14ac:dyDescent="0.25">
      <c r="A15" s="7" t="s">
        <v>11</v>
      </c>
      <c r="C15" s="6">
        <f>C10*C12+C11*C13</f>
        <v>0.21300000000000002</v>
      </c>
      <c r="K15" s="1">
        <v>0.1</v>
      </c>
      <c r="M15" s="1">
        <f>I5+K18</f>
        <v>1.3399999999999999</v>
      </c>
      <c r="N15" s="4"/>
      <c r="O15" s="1">
        <f>1-E9</f>
        <v>0.7</v>
      </c>
      <c r="Q15" t="s">
        <v>89</v>
      </c>
      <c r="S15" t="s">
        <v>66</v>
      </c>
    </row>
    <row r="16" spans="1:19" x14ac:dyDescent="0.25">
      <c r="A16" s="7" t="s">
        <v>12</v>
      </c>
      <c r="B16" t="s">
        <v>34</v>
      </c>
      <c r="F16" t="s">
        <v>50</v>
      </c>
      <c r="G16" t="s">
        <v>59</v>
      </c>
      <c r="M16" t="s">
        <v>68</v>
      </c>
      <c r="O16" s="1">
        <f>1-E10</f>
        <v>0.5</v>
      </c>
      <c r="Q16" s="3">
        <f>Q12+Q14</f>
        <v>1171513.1937195002</v>
      </c>
      <c r="S16" s="3">
        <f>S2*S8*O12*(M13+1)*O14*Q8</f>
        <v>2332198.3237928194</v>
      </c>
    </row>
    <row r="17" spans="1:19" x14ac:dyDescent="0.25">
      <c r="A17" s="7" t="s">
        <v>13</v>
      </c>
      <c r="B17" t="s">
        <v>35</v>
      </c>
      <c r="C17" t="s">
        <v>132</v>
      </c>
      <c r="F17" s="5">
        <f>E20</f>
        <v>6900.8254999999999</v>
      </c>
      <c r="G17" s="5">
        <f>[1]Sheet1!$G$6</f>
        <v>7753.5754999999999</v>
      </c>
      <c r="H17" s="5"/>
      <c r="K17" t="s">
        <v>61</v>
      </c>
      <c r="M17" s="1">
        <f>I5+K21</f>
        <v>1.44</v>
      </c>
      <c r="O17" s="1">
        <f>1-E11</f>
        <v>0.30000000000000004</v>
      </c>
      <c r="Q17" t="s">
        <v>90</v>
      </c>
      <c r="S17" t="s">
        <v>67</v>
      </c>
    </row>
    <row r="18" spans="1:19" x14ac:dyDescent="0.25">
      <c r="B18" t="s">
        <v>133</v>
      </c>
      <c r="C18" s="1">
        <v>0.5</v>
      </c>
      <c r="E18" t="s">
        <v>107</v>
      </c>
      <c r="K18" s="1">
        <v>0.2</v>
      </c>
      <c r="M18" t="s">
        <v>69</v>
      </c>
      <c r="Q18" s="3">
        <f>Q2*Q8*O12*(H5+1)*O14*O10</f>
        <v>1615880.2671993105</v>
      </c>
      <c r="S18" s="3">
        <f>S2*S8*O12*(M15+1)*O14*Q8</f>
        <v>2436314.3203907134</v>
      </c>
    </row>
    <row r="19" spans="1:19" x14ac:dyDescent="0.25">
      <c r="A19" s="7" t="s">
        <v>14</v>
      </c>
      <c r="B19" t="s">
        <v>131</v>
      </c>
      <c r="E19" s="5">
        <f>E22*1.5</f>
        <v>1705.5</v>
      </c>
      <c r="F19" t="s">
        <v>51</v>
      </c>
      <c r="M19" s="1">
        <f>I5+K24</f>
        <v>1.54</v>
      </c>
      <c r="O19" t="s">
        <v>80</v>
      </c>
      <c r="S19" t="s">
        <v>68</v>
      </c>
    </row>
    <row r="20" spans="1:19" x14ac:dyDescent="0.25">
      <c r="A20" s="7" t="s">
        <v>15</v>
      </c>
      <c r="E20" s="5">
        <f>E19+350+E19*(129%+12%+C4+C6+C8+C15+C18)</f>
        <v>6900.8254999999999</v>
      </c>
      <c r="F20" s="1">
        <f>MAX(0, MIN(INT((F17-5000)/500)*10%, 60%))</f>
        <v>0.30000000000000004</v>
      </c>
      <c r="G20" s="4">
        <f>MAX(0, MIN(INT((G17-5000)/500)*10%, 60%))</f>
        <v>0.5</v>
      </c>
      <c r="K20" t="s">
        <v>62</v>
      </c>
      <c r="O20" s="3">
        <f>O2*O5*O12*(H5+1)*O14</f>
        <v>383510.21419166133</v>
      </c>
      <c r="S20" s="3">
        <f>S2*S8*O12*(M17+1)*O14*Q8</f>
        <v>2540430.3169886069</v>
      </c>
    </row>
    <row r="21" spans="1:19" x14ac:dyDescent="0.25">
      <c r="A21" s="7" t="s">
        <v>16</v>
      </c>
      <c r="B21" t="s">
        <v>36</v>
      </c>
      <c r="E21" t="s">
        <v>121</v>
      </c>
      <c r="K21" s="1">
        <v>0.3</v>
      </c>
      <c r="M21" t="s">
        <v>72</v>
      </c>
      <c r="O21" t="s">
        <v>81</v>
      </c>
      <c r="S21" t="s">
        <v>69</v>
      </c>
    </row>
    <row r="22" spans="1:19" x14ac:dyDescent="0.25">
      <c r="A22" s="7" t="s">
        <v>17</v>
      </c>
      <c r="B22" t="s">
        <v>129</v>
      </c>
      <c r="E22">
        <f>C2*1</f>
        <v>1137</v>
      </c>
      <c r="F22" t="s">
        <v>52</v>
      </c>
      <c r="M22" t="s">
        <v>66</v>
      </c>
      <c r="O22" s="3">
        <f>O20*O10</f>
        <v>767020.42838332267</v>
      </c>
      <c r="Q22" t="s">
        <v>82</v>
      </c>
      <c r="S22" s="3">
        <f>S2*S8*O12*(M19+1)*O14*Q8</f>
        <v>2644546.3135865009</v>
      </c>
    </row>
    <row r="23" spans="1:19" x14ac:dyDescent="0.25">
      <c r="E23" s="5"/>
      <c r="F23" s="1">
        <v>0.1</v>
      </c>
      <c r="K23" t="s">
        <v>63</v>
      </c>
      <c r="M23" s="1">
        <f>I5+K28</f>
        <v>1.3399999999999999</v>
      </c>
      <c r="Q23" t="s">
        <v>91</v>
      </c>
    </row>
    <row r="24" spans="1:19" x14ac:dyDescent="0.25">
      <c r="A24" s="7" t="s">
        <v>18</v>
      </c>
      <c r="B24" t="s">
        <v>128</v>
      </c>
      <c r="K24" s="1">
        <v>0.4</v>
      </c>
      <c r="M24" t="s">
        <v>67</v>
      </c>
      <c r="O24" t="s">
        <v>82</v>
      </c>
      <c r="Q24" s="3">
        <f>Q2*Q8*O12*(N3+1)*O14*O10</f>
        <v>1824112.2603950982</v>
      </c>
      <c r="S24" t="s">
        <v>103</v>
      </c>
    </row>
    <row r="25" spans="1:19" x14ac:dyDescent="0.25">
      <c r="A25" s="7" t="s">
        <v>19</v>
      </c>
      <c r="B25" t="s">
        <v>37</v>
      </c>
      <c r="F25" t="s">
        <v>53</v>
      </c>
      <c r="M25" s="1">
        <f>I5+K30</f>
        <v>1.54</v>
      </c>
      <c r="O25" t="s">
        <v>66</v>
      </c>
      <c r="Q25" t="s">
        <v>92</v>
      </c>
      <c r="S25" s="3">
        <f>(S16+S18+S20+S22)/80%</f>
        <v>12441861.5934483</v>
      </c>
    </row>
    <row r="26" spans="1:19" x14ac:dyDescent="0.25">
      <c r="A26" s="7" t="s">
        <v>20</v>
      </c>
      <c r="B26" t="s">
        <v>38</v>
      </c>
      <c r="F26" s="1">
        <v>0.12</v>
      </c>
      <c r="K26" t="s">
        <v>65</v>
      </c>
      <c r="M26" t="s">
        <v>68</v>
      </c>
      <c r="O26" s="3">
        <f>O2*O5*O12*(1+M3)*O14*O8</f>
        <v>590091.74709387077</v>
      </c>
      <c r="Q26" s="3">
        <f>(Q2*Q8*O12*(N3+1)*O14)+(Q2*Q8*O12*(N3+1+Q10)*O14*O10)*Q6</f>
        <v>1248142.56721555</v>
      </c>
      <c r="S26" t="s">
        <v>110</v>
      </c>
    </row>
    <row r="27" spans="1:19" x14ac:dyDescent="0.25">
      <c r="A27" s="7" t="s">
        <v>21</v>
      </c>
      <c r="B27" t="s">
        <v>39</v>
      </c>
      <c r="K27" t="s">
        <v>60</v>
      </c>
      <c r="M27" s="1">
        <f>I5+K32</f>
        <v>1.7399999999999998</v>
      </c>
      <c r="O27" t="s">
        <v>67</v>
      </c>
      <c r="Q27" t="s">
        <v>93</v>
      </c>
      <c r="S27" s="3">
        <f>S25/60</f>
        <v>207364.359890805</v>
      </c>
    </row>
    <row r="28" spans="1:19" x14ac:dyDescent="0.25">
      <c r="A28" s="7" t="s">
        <v>22</v>
      </c>
      <c r="B28" t="s">
        <v>40</v>
      </c>
      <c r="F28" t="s">
        <v>54</v>
      </c>
      <c r="K28" s="1">
        <v>0.2</v>
      </c>
      <c r="M28" t="s">
        <v>69</v>
      </c>
      <c r="O28" s="3">
        <f>O2*O5*O12*(1+M5)*O14*O8</f>
        <v>604918.17290024948</v>
      </c>
      <c r="Q28" s="3">
        <f>0.5*(Q24+Q26)</f>
        <v>1536127.4138053241</v>
      </c>
    </row>
    <row r="29" spans="1:19" x14ac:dyDescent="0.25">
      <c r="A29" s="7" t="s">
        <v>23</v>
      </c>
      <c r="F29" s="1">
        <v>0.18</v>
      </c>
      <c r="K29" t="s">
        <v>61</v>
      </c>
      <c r="M29" s="1">
        <f>I5+K34</f>
        <v>1.94</v>
      </c>
      <c r="O29" t="s">
        <v>68</v>
      </c>
    </row>
    <row r="30" spans="1:19" x14ac:dyDescent="0.25">
      <c r="A30" s="7" t="s">
        <v>24</v>
      </c>
      <c r="K30" s="1">
        <v>0.4</v>
      </c>
      <c r="O30" s="3">
        <f>O2*O5*O12*(1+M7)*O14*O8</f>
        <v>619744.59870662796</v>
      </c>
      <c r="Q30" t="s">
        <v>94</v>
      </c>
      <c r="S30" t="s">
        <v>111</v>
      </c>
    </row>
    <row r="31" spans="1:19" x14ac:dyDescent="0.25">
      <c r="F31" t="s">
        <v>56</v>
      </c>
      <c r="K31" t="s">
        <v>62</v>
      </c>
      <c r="O31" t="s">
        <v>69</v>
      </c>
      <c r="Q31" s="3">
        <f>Q2*Q8*O12*(N5+1)*O14*O10</f>
        <v>1865758.6590342559</v>
      </c>
      <c r="S31" s="3">
        <f>S2*S8*O12*(I5+1)*O14*Q8</f>
        <v>2228082.3271949254</v>
      </c>
    </row>
    <row r="32" spans="1:19" x14ac:dyDescent="0.25">
      <c r="F32" s="1">
        <v>0.25</v>
      </c>
      <c r="K32" s="1">
        <v>0.6</v>
      </c>
      <c r="O32" s="3">
        <f>O2*O5*O12*(1+M9)*O14*O8</f>
        <v>634571.02451300656</v>
      </c>
      <c r="Q32" t="s">
        <v>95</v>
      </c>
    </row>
    <row r="33" spans="1:19" x14ac:dyDescent="0.25">
      <c r="K33" t="s">
        <v>63</v>
      </c>
      <c r="Q33" s="3">
        <f>(Q2*Q8*O12*(N5+1)*O14)+(Q2*Q8*O12*(N5+1+Q10)*O14*O10)*Q6</f>
        <v>1275212.7263310025</v>
      </c>
      <c r="S33" t="s">
        <v>109</v>
      </c>
    </row>
    <row r="34" spans="1:19" x14ac:dyDescent="0.25">
      <c r="F34" t="s">
        <v>57</v>
      </c>
      <c r="K34" s="1">
        <v>0.8</v>
      </c>
      <c r="O34" t="s">
        <v>83</v>
      </c>
      <c r="Q34" t="s">
        <v>96</v>
      </c>
      <c r="S34" t="s">
        <v>66</v>
      </c>
    </row>
    <row r="35" spans="1:19" x14ac:dyDescent="0.25">
      <c r="F35" s="1">
        <v>0.5</v>
      </c>
      <c r="O35" s="3">
        <f>(O26+O28+O30+O32)/80%</f>
        <v>3061656.9290171936</v>
      </c>
      <c r="Q35" s="3">
        <f>0.5*(Q31+Q33)</f>
        <v>1570485.6926826292</v>
      </c>
      <c r="S35" s="3">
        <f>S2*S8*O12*(M23+1)*O14*Q8</f>
        <v>2436314.3203907134</v>
      </c>
    </row>
    <row r="36" spans="1:19" x14ac:dyDescent="0.25">
      <c r="B36" t="s">
        <v>41</v>
      </c>
      <c r="O36" t="s">
        <v>84</v>
      </c>
      <c r="S36" t="s">
        <v>67</v>
      </c>
    </row>
    <row r="37" spans="1:19" x14ac:dyDescent="0.25">
      <c r="B37" t="s">
        <v>42</v>
      </c>
      <c r="F37" t="s">
        <v>58</v>
      </c>
      <c r="O37" s="3">
        <f>O35/60</f>
        <v>51027.615483619891</v>
      </c>
      <c r="Q37" t="s">
        <v>97</v>
      </c>
      <c r="S37" s="3">
        <f>S2*S8*O12*(M25+1)*O14*Q8</f>
        <v>2644546.3135865009</v>
      </c>
    </row>
    <row r="38" spans="1:19" x14ac:dyDescent="0.25">
      <c r="B38" t="s">
        <v>43</v>
      </c>
      <c r="F38" s="1">
        <v>0.25</v>
      </c>
      <c r="Q38" s="3">
        <f>Q2*Q8*O12*(N7+1)*O14*O10</f>
        <v>1907405.0576734133</v>
      </c>
      <c r="S38" t="s">
        <v>68</v>
      </c>
    </row>
    <row r="39" spans="1:19" x14ac:dyDescent="0.25">
      <c r="Q39" t="s">
        <v>98</v>
      </c>
      <c r="S39" s="3">
        <f>S2*S8*O12*(M27+1)*O14*Q8</f>
        <v>2852778.306782288</v>
      </c>
    </row>
    <row r="40" spans="1:19" x14ac:dyDescent="0.25">
      <c r="M40" s="1"/>
      <c r="O40" s="3"/>
      <c r="Q40" s="3">
        <f>(Q2*Q8*O12*(N7+1)*O14)+(Q2*Q8*O12*(N7+1+Q10)*O14*O10)*Q6</f>
        <v>1302282.8854464549</v>
      </c>
      <c r="S40" t="s">
        <v>69</v>
      </c>
    </row>
    <row r="41" spans="1:19" x14ac:dyDescent="0.25">
      <c r="A41" t="s">
        <v>114</v>
      </c>
      <c r="B41" t="s">
        <v>115</v>
      </c>
      <c r="C41" t="s">
        <v>116</v>
      </c>
      <c r="F41" s="1"/>
      <c r="Q41" t="s">
        <v>99</v>
      </c>
      <c r="S41" s="3">
        <f>S2*S8*O12*(M29+1)*O14*Q8</f>
        <v>3061010.2999780755</v>
      </c>
    </row>
    <row r="42" spans="1:19" x14ac:dyDescent="0.25">
      <c r="A42" s="3">
        <f>Q52</f>
        <v>7938324.1606064066</v>
      </c>
      <c r="B42" s="3">
        <f>S25</f>
        <v>12441861.5934483</v>
      </c>
      <c r="C42" s="3">
        <f>S48</f>
        <v>20094387.34339349</v>
      </c>
      <c r="F42" s="4"/>
      <c r="M42" s="1"/>
      <c r="O42" s="3"/>
      <c r="Q42" s="3">
        <f>0.5*(Q38+Q40)</f>
        <v>1604843.9715599341</v>
      </c>
      <c r="S42" t="s">
        <v>112</v>
      </c>
    </row>
    <row r="43" spans="1:19" x14ac:dyDescent="0.25">
      <c r="A43" s="3" t="str">
        <f>Q53</f>
        <v>DPS 60s</v>
      </c>
      <c r="B43" s="3" t="str">
        <f>S26</f>
        <v>DPS 60S</v>
      </c>
      <c r="C43" s="3" t="str">
        <f>S49</f>
        <v>DPS 60s</v>
      </c>
      <c r="S43" s="3">
        <f>S2*S8*O12*(M23+1)*O14*Q8</f>
        <v>2436314.3203907134</v>
      </c>
    </row>
    <row r="44" spans="1:19" x14ac:dyDescent="0.25">
      <c r="A44" s="3">
        <f>Q54</f>
        <v>132305.40267677343</v>
      </c>
      <c r="B44" s="3">
        <f>S27</f>
        <v>207364.359890805</v>
      </c>
      <c r="C44" s="3">
        <f>S50</f>
        <v>334906.45572322485</v>
      </c>
      <c r="M44" s="1"/>
      <c r="O44" s="3"/>
      <c r="Q44" t="s">
        <v>100</v>
      </c>
      <c r="S44" t="s">
        <v>113</v>
      </c>
    </row>
    <row r="45" spans="1:19" x14ac:dyDescent="0.25">
      <c r="A45" s="3" t="s">
        <v>117</v>
      </c>
      <c r="B45" s="3"/>
      <c r="C45" s="3"/>
      <c r="Q45" s="3">
        <f>Q2*Q8*O12*(N9+1)*O14*O10</f>
        <v>1949051.4563125705</v>
      </c>
      <c r="S45" s="3">
        <f>S2*S8*O12*(M25+1)*O14*Q8</f>
        <v>2644546.3135865009</v>
      </c>
    </row>
    <row r="46" spans="1:19" x14ac:dyDescent="0.25">
      <c r="A46" s="1">
        <f>(A42-A42)/A42</f>
        <v>0</v>
      </c>
      <c r="B46" s="4">
        <f>(B42-A42)/A42</f>
        <v>0.56731588956652901</v>
      </c>
      <c r="C46" s="1">
        <f>(C42-A42)/A42</f>
        <v>1.5313135287559843</v>
      </c>
      <c r="M46" s="1"/>
      <c r="O46" s="3"/>
      <c r="Q46" t="s">
        <v>101</v>
      </c>
    </row>
    <row r="47" spans="1:19" x14ac:dyDescent="0.25">
      <c r="A47" t="s">
        <v>118</v>
      </c>
      <c r="Q47" s="3">
        <f>(Q2*Q8*O12*(N9+1)*O14)+(Q2*Q8*O12*(N9+1+Q10)*O14*O10)*Q6</f>
        <v>1329353.044561907</v>
      </c>
      <c r="S47" t="s">
        <v>103</v>
      </c>
    </row>
    <row r="48" spans="1:19" x14ac:dyDescent="0.25">
      <c r="A48" s="1">
        <f>(C42-B42)/B42</f>
        <v>0.61506276150627626</v>
      </c>
      <c r="M48" s="1"/>
      <c r="O48" s="3"/>
      <c r="Q48" t="s">
        <v>102</v>
      </c>
      <c r="S48" s="3">
        <f>(S35+S37+S39+S41+S43+S45)/80%</f>
        <v>20094387.34339349</v>
      </c>
    </row>
    <row r="49" spans="15:19" x14ac:dyDescent="0.25">
      <c r="Q49" s="3">
        <f>0.5*(Q45+Q47)</f>
        <v>1639202.2504372387</v>
      </c>
      <c r="S49" t="s">
        <v>104</v>
      </c>
    </row>
    <row r="50" spans="15:19" x14ac:dyDescent="0.25">
      <c r="O50" s="3"/>
      <c r="S50" s="3">
        <f>S48/60</f>
        <v>334906.45572322485</v>
      </c>
    </row>
    <row r="51" spans="15:19" x14ac:dyDescent="0.25">
      <c r="Q51" t="s">
        <v>103</v>
      </c>
    </row>
    <row r="52" spans="15:19" x14ac:dyDescent="0.25">
      <c r="Q52" s="3">
        <f>(Q28+Q35+Q42+Q49)/80%</f>
        <v>7938324.1606064066</v>
      </c>
    </row>
    <row r="53" spans="15:19" x14ac:dyDescent="0.25">
      <c r="Q53" t="s">
        <v>104</v>
      </c>
    </row>
    <row r="54" spans="15:19" x14ac:dyDescent="0.25">
      <c r="Q54" s="3">
        <f>Q52/60</f>
        <v>132305.40267677343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Hansrican lv</dc:creator>
  <cp:lastModifiedBy>Hansrican lv</cp:lastModifiedBy>
  <dcterms:created xsi:type="dcterms:W3CDTF">2015-06-05T18:19:34Z</dcterms:created>
  <dcterms:modified xsi:type="dcterms:W3CDTF">2026-09-06T18:46:15Z</dcterms:modified>
</cp:coreProperties>
</file>