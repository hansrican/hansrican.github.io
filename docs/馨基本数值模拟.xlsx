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C1486BB3-69DC-45EC-BF98-EFB6359A7247}" xr6:coauthVersionLast="47" xr6:coauthVersionMax="47" xr10:uidLastSave="{00000000-0000-0000-0000-000000000000}"/>
  <bookViews>
    <workbookView xWindow="3804" yWindow="2832" windowWidth="19284" windowHeight="12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5" i="1" s="1"/>
  <c r="E24" i="1"/>
  <c r="E25" i="1" s="1"/>
  <c r="E26" i="1" s="1"/>
  <c r="E27" i="1" s="1"/>
  <c r="E28" i="1" s="1"/>
  <c r="E29" i="1" s="1"/>
  <c r="E30" i="1" s="1"/>
  <c r="E31" i="1" s="1"/>
  <c r="F26" i="1" l="1"/>
  <c r="F27" i="1" s="1"/>
  <c r="F28" i="1" s="1"/>
  <c r="F29" i="1" s="1"/>
  <c r="F30" i="1" s="1"/>
  <c r="G24" i="1"/>
  <c r="G4" i="1"/>
  <c r="C28" i="1" s="1"/>
  <c r="F31" i="1" l="1"/>
  <c r="G25" i="1"/>
  <c r="C32" i="1"/>
  <c r="C36" i="1" s="1"/>
  <c r="D25" i="1" s="1"/>
  <c r="C31" i="1"/>
  <c r="C35" i="1" s="1"/>
  <c r="D24" i="1" s="1"/>
  <c r="C30" i="1"/>
  <c r="C34" i="1" s="1"/>
  <c r="F33" i="1" s="1"/>
  <c r="G6" i="1"/>
  <c r="G26" i="1" l="1"/>
  <c r="D23" i="1"/>
  <c r="D15" i="1"/>
  <c r="G2" i="1" s="1"/>
  <c r="C15" i="1"/>
  <c r="D12" i="1"/>
  <c r="C19" i="1"/>
  <c r="D19" i="1" s="1"/>
  <c r="F6" i="1" s="1"/>
  <c r="C17" i="1"/>
  <c r="D17" i="1" s="1"/>
  <c r="F4" i="1" s="1"/>
  <c r="H23" i="1" l="1"/>
  <c r="H24" i="1"/>
  <c r="I24" i="1" s="1"/>
  <c r="H25" i="1"/>
  <c r="G27" i="1"/>
  <c r="H26" i="1"/>
  <c r="F17" i="1"/>
  <c r="G11" i="1"/>
  <c r="F34" i="1"/>
  <c r="G13" i="1"/>
  <c r="F2" i="1"/>
  <c r="F13" i="1"/>
  <c r="F9" i="1"/>
  <c r="H27" i="1" l="1"/>
  <c r="G28" i="1"/>
  <c r="I23" i="1"/>
  <c r="I27" i="1"/>
  <c r="I25" i="1"/>
  <c r="I26" i="1"/>
  <c r="J26" i="1" s="1"/>
  <c r="K26" i="1" s="1"/>
  <c r="J24" i="1"/>
  <c r="K24" i="1" s="1"/>
  <c r="J25" i="1"/>
  <c r="K25" i="1" s="1"/>
  <c r="J23" i="1"/>
  <c r="K23" i="1" s="1"/>
  <c r="J27" i="1"/>
  <c r="K27" i="1" s="1"/>
  <c r="H28" i="1" l="1"/>
  <c r="G29" i="1"/>
  <c r="H29" i="1" l="1"/>
  <c r="G30" i="1"/>
  <c r="I29" i="1"/>
  <c r="J29" i="1" s="1"/>
  <c r="K29" i="1" s="1"/>
  <c r="I28" i="1"/>
  <c r="J28" i="1" s="1"/>
  <c r="K28" i="1" s="1"/>
  <c r="H30" i="1" l="1"/>
  <c r="I30" i="1" s="1"/>
  <c r="J30" i="1" s="1"/>
  <c r="K30" i="1" s="1"/>
  <c r="G31" i="1"/>
  <c r="H31" i="1" s="1"/>
  <c r="I31" i="1" l="1"/>
  <c r="J31" i="1" s="1"/>
  <c r="K31" i="1" s="1"/>
</calcChain>
</file>

<file path=xl/sharedStrings.xml><?xml version="1.0" encoding="utf-8"?>
<sst xmlns="http://schemas.openxmlformats.org/spreadsheetml/2006/main" count="86" uniqueCount="78">
  <si>
    <t>馨基本数值：</t>
    <phoneticPr fontId="1" type="noConversion"/>
  </si>
  <si>
    <t>基础生命(1级)：</t>
    <phoneticPr fontId="1" type="noConversion"/>
  </si>
  <si>
    <t>基础生命(90级)：</t>
    <phoneticPr fontId="1" type="noConversion"/>
  </si>
  <si>
    <t>暴击率：</t>
    <phoneticPr fontId="1" type="noConversion"/>
  </si>
  <si>
    <t>基础防御：</t>
    <phoneticPr fontId="1" type="noConversion"/>
  </si>
  <si>
    <t>基础防御（满级）：</t>
    <phoneticPr fontId="1" type="noConversion"/>
  </si>
  <si>
    <t>天赋升级：</t>
    <phoneticPr fontId="1" type="noConversion"/>
  </si>
  <si>
    <t>生命值加成</t>
    <phoneticPr fontId="1" type="noConversion"/>
  </si>
  <si>
    <t>治疗效果加成</t>
    <phoneticPr fontId="1" type="noConversion"/>
  </si>
  <si>
    <t>治疗效果加成：</t>
    <phoneticPr fontId="1" type="noConversion"/>
  </si>
  <si>
    <t>馨专属声骇套装：</t>
    <phoneticPr fontId="1" type="noConversion"/>
  </si>
  <si>
    <t>2件套：若携带者攻击力＞2000，攻击力提升10%；若携带者生命值&gt;20000，治疗效果提升10%。</t>
  </si>
  <si>
    <t>5件套：暴击率增加12%，携带者每一次造成伤害都会增加5%爆伤，最多30%。若队伍仅有一个角色，则携带者每一次造成伤害都会增加10%爆伤，最多60%。</t>
  </si>
  <si>
    <t>备注：馨的声骇套装能给予其治疗效果加成10%，暴击率加成12%，30%爆伤</t>
    <phoneticPr fontId="1" type="noConversion"/>
  </si>
  <si>
    <t>馨专武效果：</t>
    <phoneticPr fontId="1" type="noConversion"/>
  </si>
  <si>
    <t>主词条提供：</t>
    <phoneticPr fontId="1" type="noConversion"/>
  </si>
  <si>
    <t>声骸配装</t>
    <phoneticPr fontId="1" type="noConversion"/>
  </si>
  <si>
    <t>声骸套装：</t>
    <phoneticPr fontId="1" type="noConversion"/>
  </si>
  <si>
    <t>目前为44111</t>
    <phoneticPr fontId="1" type="noConversion"/>
  </si>
  <si>
    <t>声骇主词条：</t>
    <phoneticPr fontId="1" type="noConversion"/>
  </si>
  <si>
    <t>首位声骸提供：</t>
    <phoneticPr fontId="1" type="noConversion"/>
  </si>
  <si>
    <t>以及治疗效果加成</t>
    <phoneticPr fontId="1" type="noConversion"/>
  </si>
  <si>
    <t>1C提供</t>
    <phoneticPr fontId="1" type="noConversion"/>
  </si>
  <si>
    <t>固定生命值</t>
    <phoneticPr fontId="1" type="noConversion"/>
  </si>
  <si>
    <t>根据馨配装可得，仅计算主词条：</t>
    <phoneticPr fontId="1" type="noConversion"/>
  </si>
  <si>
    <t>声骸套装共提供:</t>
    <phoneticPr fontId="1" type="noConversion"/>
  </si>
  <si>
    <t>生命值加成提供</t>
    <phoneticPr fontId="1" type="noConversion"/>
  </si>
  <si>
    <t>固定生命值提供</t>
    <phoneticPr fontId="1" type="noConversion"/>
  </si>
  <si>
    <t>暴击率提供</t>
    <phoneticPr fontId="1" type="noConversion"/>
  </si>
  <si>
    <t>爆伤最高提供</t>
    <phoneticPr fontId="1" type="noConversion"/>
  </si>
  <si>
    <t>副词条提供生命值加成：</t>
    <phoneticPr fontId="1" type="noConversion"/>
  </si>
  <si>
    <t>馨总共暴击率为：</t>
    <phoneticPr fontId="1" type="noConversion"/>
  </si>
  <si>
    <t>馨总共治疗效果加成为：</t>
    <phoneticPr fontId="1" type="noConversion"/>
  </si>
  <si>
    <t>假设馨声骸副词条为：</t>
    <phoneticPr fontId="1" type="noConversion"/>
  </si>
  <si>
    <t>固定值生命加成共：</t>
    <phoneticPr fontId="1" type="noConversion"/>
  </si>
  <si>
    <t>生命值加成共：</t>
    <phoneticPr fontId="1" type="noConversion"/>
  </si>
  <si>
    <t>暴击率共：</t>
    <phoneticPr fontId="1" type="noConversion"/>
  </si>
  <si>
    <t>爆伤共：</t>
    <phoneticPr fontId="1" type="noConversion"/>
  </si>
  <si>
    <t>获得的爆伤等比例变为：</t>
    <phoneticPr fontId="1" type="noConversion"/>
  </si>
  <si>
    <t>馨满配装后数值：</t>
    <phoneticPr fontId="1" type="noConversion"/>
  </si>
  <si>
    <t>生命值为：</t>
    <phoneticPr fontId="1" type="noConversion"/>
  </si>
  <si>
    <t>馨90级生命值为：</t>
    <phoneticPr fontId="1" type="noConversion"/>
  </si>
  <si>
    <t>治疗效果加成为：</t>
    <phoneticPr fontId="1" type="noConversion"/>
  </si>
  <si>
    <t>生命值：</t>
    <phoneticPr fontId="1" type="noConversion"/>
  </si>
  <si>
    <t>生长状态共鸣技能数值：</t>
    <phoneticPr fontId="1" type="noConversion"/>
  </si>
  <si>
    <t>1500+5%生命</t>
    <phoneticPr fontId="1" type="noConversion"/>
  </si>
  <si>
    <t>注：全队分摊</t>
    <phoneticPr fontId="1" type="noConversion"/>
  </si>
  <si>
    <t>绽放状态共鸣技能数值：</t>
    <phoneticPr fontId="1" type="noConversion"/>
  </si>
  <si>
    <t>且治疗效果转换为暴击率</t>
    <phoneticPr fontId="1" type="noConversion"/>
  </si>
  <si>
    <t>可用治疗效果为：</t>
    <phoneticPr fontId="1" type="noConversion"/>
  </si>
  <si>
    <t>2500+10%生命</t>
    <phoneticPr fontId="1" type="noConversion"/>
  </si>
  <si>
    <t>至美加成后，专武效果治疗</t>
    <phoneticPr fontId="1" type="noConversion"/>
  </si>
  <si>
    <t>至美延奏后，馨的生命值：</t>
    <phoneticPr fontId="1" type="noConversion"/>
  </si>
  <si>
    <t>馨的防御力：</t>
    <phoneticPr fontId="1" type="noConversion"/>
  </si>
  <si>
    <t>莎莉娜攻击力为：</t>
    <phoneticPr fontId="1" type="noConversion"/>
  </si>
  <si>
    <t>至美三围加成：</t>
    <phoneticPr fontId="1" type="noConversion"/>
  </si>
  <si>
    <t>释放延奏的治疗：</t>
    <phoneticPr fontId="1" type="noConversion"/>
  </si>
  <si>
    <t>受到伤害的治疗：</t>
    <phoneticPr fontId="1" type="noConversion"/>
  </si>
  <si>
    <t>受伤计算：</t>
    <phoneticPr fontId="1" type="noConversion"/>
  </si>
  <si>
    <t>假设敌人的等级为：</t>
    <phoneticPr fontId="1" type="noConversion"/>
  </si>
  <si>
    <t>当前馨防御：</t>
    <phoneticPr fontId="1" type="noConversion"/>
  </si>
  <si>
    <t>敌人攻击时的防御乘区为：</t>
    <phoneticPr fontId="1" type="noConversion"/>
  </si>
  <si>
    <t>假设敌人伤害为一次10000，则最终伤害为</t>
    <phoneticPr fontId="1" type="noConversion"/>
  </si>
  <si>
    <t>最终馨所受伤害：</t>
    <phoneticPr fontId="1" type="noConversion"/>
  </si>
  <si>
    <t>原始伤害</t>
    <phoneticPr fontId="1" type="noConversion"/>
  </si>
  <si>
    <t>馨总生命值</t>
    <phoneticPr fontId="1" type="noConversion"/>
  </si>
  <si>
    <t>攻击间隔</t>
    <phoneticPr fontId="1" type="noConversion"/>
  </si>
  <si>
    <t>攻击次数</t>
    <phoneticPr fontId="1" type="noConversion"/>
  </si>
  <si>
    <t>受击时间/秒</t>
    <phoneticPr fontId="1" type="noConversion"/>
  </si>
  <si>
    <t>当前倍率</t>
    <phoneticPr fontId="1" type="noConversion"/>
  </si>
  <si>
    <t>单次伤害</t>
    <phoneticPr fontId="1" type="noConversion"/>
  </si>
  <si>
    <t>累计总伤害</t>
    <phoneticPr fontId="1" type="noConversion"/>
  </si>
  <si>
    <t>馨剩余生命</t>
    <phoneticPr fontId="1" type="noConversion"/>
  </si>
  <si>
    <t>是否死亡</t>
    <phoneticPr fontId="1" type="noConversion"/>
  </si>
  <si>
    <t>目移便会结束</t>
    <phoneticPr fontId="1" type="noConversion"/>
  </si>
  <si>
    <t>若2秒内受击超过5次</t>
    <phoneticPr fontId="1" type="noConversion"/>
  </si>
  <si>
    <t>若两秒内受击2次</t>
    <phoneticPr fontId="1" type="noConversion"/>
  </si>
  <si>
    <t>下一次受击4次结束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</si>
</sst>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.6"/>
      <color rgb="FF0F1115"/>
      <name val="Consolas"/>
      <family val="3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left" vertical="top" wrapText="1"/>
    </xf>
    <xf numFmtId="10" fontId="0" fillId="0" borderId="0" xfId="0" applyNumberFormat="1"/>
    <xf numFmtId="176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9" fontId="0" fillId="3" borderId="0" xfId="0" applyNumberFormat="1" applyFill="1"/>
    <xf numFmtId="0" fontId="4" fillId="4" borderId="0" xfId="0" applyFont="1" applyFill="1"/>
    <xf numFmtId="10" fontId="4" fillId="4" borderId="0" xfId="0" applyNumberFormat="1" applyFont="1" applyFill="1"/>
    <xf numFmtId="9" fontId="4" fillId="4" borderId="0" xfId="0" applyNumberFormat="1" applyFont="1" applyFill="1"/>
    <xf numFmtId="0" fontId="0" fillId="4" borderId="0" xfId="0" applyFill="1"/>
    <xf numFmtId="10" fontId="0" fillId="4" borderId="0" xfId="0" applyNumberFormat="1" applyFill="1"/>
    <xf numFmtId="9" fontId="0" fillId="4" borderId="0" xfId="0" applyNumberFormat="1" applyFill="1"/>
    <xf numFmtId="177" fontId="0" fillId="0" borderId="0" xfId="0" applyNumberFormat="1"/>
    <xf numFmtId="176" fontId="5" fillId="0" borderId="0" xfId="0" applyNumberFormat="1" applyFont="1"/>
    <xf numFmtId="0" fontId="6" fillId="0" borderId="0" xfId="0" applyFont="1"/>
    <xf numFmtId="176" fontId="0" fillId="4" borderId="0" xfId="0" applyNumberFormat="1" applyFill="1"/>
  </cellXfs>
  <cellStyles count="1">
    <cellStyle name="常规" xfId="0" builtinId="0"/>
  </cellStyles>
  <dxfs count="2">
    <dxf>
      <numFmt numFmtId="176" formatCode="0_ "/>
    </dxf>
    <dxf>
      <numFmt numFmtId="176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60526\Desktop\&#33678;&#33673;&#23068;&#25968;&#20540;&#27169;&#25311;.xlsx" TargetMode="External"/><Relationship Id="rId1" Type="http://schemas.openxmlformats.org/officeDocument/2006/relationships/externalLinkPath" Target="file:///C:\Users\60526\Desktop\&#33678;&#33673;&#23068;&#25968;&#20540;&#27169;&#253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7">
          <cell r="F17">
            <v>6900.8254999999999</v>
          </cell>
        </row>
        <row r="19">
          <cell r="E19">
            <v>1705.5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6C601-6542-4126-8657-EF831DAFF715}" name="表1" displayName="表1" ref="E22:K31" totalsRowShown="0">
  <autoFilter ref="E22:K31" xr:uid="{CEA6C601-6542-4126-8657-EF831DAFF715}"/>
  <tableColumns count="7">
    <tableColumn id="1" xr3:uid="{4FFCF9B6-27DA-4FF9-87BE-2B6351BB54B1}" name="攻击次数">
      <calculatedColumnFormula>E22+1</calculatedColumnFormula>
    </tableColumn>
    <tableColumn id="2" xr3:uid="{A864396A-C8B4-485C-9245-904045F6BD03}" name="受击时间/秒">
      <calculatedColumnFormula>F22+$F$35</calculatedColumnFormula>
    </tableColumn>
    <tableColumn id="3" xr3:uid="{9B1660C5-C475-435D-85D5-342B1D34DE3E}" name="当前倍率">
      <calculatedColumnFormula>IF(F23-F22&lt;2, G22+0.5, 1.5)</calculatedColumnFormula>
    </tableColumn>
    <tableColumn id="4" xr3:uid="{3CD4EDD2-5D3B-4967-BE1B-565AE4B31D89}" name="单次伤害">
      <calculatedColumnFormula>$F$33*G23</calculatedColumnFormula>
    </tableColumn>
    <tableColumn id="5" xr3:uid="{43B0CD56-B391-40F9-BB0C-62937CDDB168}" name="累计总伤害" dataDxfId="1"/>
    <tableColumn id="6" xr3:uid="{C077FA6C-89DD-4E22-8EF3-D3CA2EBC36FC}" name="馨剩余生命" dataDxfId="0">
      <calculatedColumnFormula>$F$34-I23</calculatedColumnFormula>
    </tableColumn>
    <tableColumn id="7" xr3:uid="{840596BA-27D1-4891-ABD7-C863C0C01A23}" name="是否死亡">
      <calculatedColumnFormula>IF(J23&lt;=0,"死亡","存活")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70" zoomScaleNormal="70" workbookViewId="0">
      <selection activeCell="G6" sqref="G6"/>
    </sheetView>
  </sheetViews>
  <sheetFormatPr defaultRowHeight="13.8" x14ac:dyDescent="0.25"/>
  <cols>
    <col min="1" max="1" width="18.88671875" customWidth="1"/>
    <col min="2" max="2" width="28.6640625" customWidth="1"/>
    <col min="3" max="3" width="38.33203125" customWidth="1"/>
    <col min="4" max="4" width="22.109375" customWidth="1"/>
    <col min="5" max="5" width="10.88671875" customWidth="1"/>
    <col min="6" max="6" width="23" customWidth="1"/>
    <col min="7" max="7" width="27.44140625" customWidth="1"/>
    <col min="8" max="8" width="18.6640625" customWidth="1"/>
    <col min="9" max="9" width="13.77734375" customWidth="1"/>
    <col min="10" max="10" width="12.88671875" customWidth="1"/>
    <col min="11" max="11" width="10.88671875" customWidth="1"/>
  </cols>
  <sheetData>
    <row r="1" spans="1:7" x14ac:dyDescent="0.25">
      <c r="A1" s="7" t="s">
        <v>0</v>
      </c>
      <c r="B1" s="9" t="s">
        <v>14</v>
      </c>
      <c r="C1" s="14" t="s">
        <v>24</v>
      </c>
      <c r="D1" t="s">
        <v>33</v>
      </c>
      <c r="F1" t="s">
        <v>43</v>
      </c>
      <c r="G1" t="s">
        <v>52</v>
      </c>
    </row>
    <row r="2" spans="1:7" x14ac:dyDescent="0.25">
      <c r="A2" s="7" t="s">
        <v>1</v>
      </c>
      <c r="B2" s="9" t="s">
        <v>15</v>
      </c>
      <c r="C2" s="14" t="s">
        <v>25</v>
      </c>
      <c r="D2" t="s">
        <v>34</v>
      </c>
      <c r="F2" s="6">
        <f>D15</f>
        <v>44942.97600000001</v>
      </c>
      <c r="G2" s="6">
        <f>D15+A5*G8</f>
        <v>53298.97600000001</v>
      </c>
    </row>
    <row r="3" spans="1:7" x14ac:dyDescent="0.25">
      <c r="A3" s="7">
        <v>1337</v>
      </c>
      <c r="B3" s="9" t="s">
        <v>3</v>
      </c>
      <c r="C3" s="14" t="s">
        <v>8</v>
      </c>
      <c r="D3">
        <v>1370</v>
      </c>
      <c r="F3" t="s">
        <v>3</v>
      </c>
      <c r="G3" t="s">
        <v>53</v>
      </c>
    </row>
    <row r="4" spans="1:7" x14ac:dyDescent="0.25">
      <c r="A4" s="7" t="s">
        <v>2</v>
      </c>
      <c r="B4" s="10">
        <v>0.36</v>
      </c>
      <c r="C4" s="15">
        <v>0.628</v>
      </c>
      <c r="D4" t="s">
        <v>35</v>
      </c>
      <c r="F4" s="1">
        <f>D17</f>
        <v>0.74</v>
      </c>
      <c r="G4" s="6">
        <f>A11+A11*G8</f>
        <v>1648.5</v>
      </c>
    </row>
    <row r="5" spans="1:7" x14ac:dyDescent="0.25">
      <c r="A5" s="7">
        <v>16712</v>
      </c>
      <c r="B5" s="9" t="s">
        <v>30</v>
      </c>
      <c r="C5" s="14" t="s">
        <v>26</v>
      </c>
      <c r="D5" s="5">
        <v>0.27400000000000002</v>
      </c>
      <c r="F5" t="s">
        <v>9</v>
      </c>
      <c r="G5" t="s">
        <v>54</v>
      </c>
    </row>
    <row r="6" spans="1:7" x14ac:dyDescent="0.25">
      <c r="A6" s="7" t="s">
        <v>3</v>
      </c>
      <c r="B6" s="10">
        <v>0.12</v>
      </c>
      <c r="C6" s="15">
        <v>0.68400000000000005</v>
      </c>
      <c r="D6" t="s">
        <v>36</v>
      </c>
      <c r="F6" s="5">
        <f>D19</f>
        <v>1.0979999999999999</v>
      </c>
      <c r="G6" s="6">
        <f>[1]Sheet1!$E$19*G8+[1]Sheet1!$F$17</f>
        <v>7753.5754999999999</v>
      </c>
    </row>
    <row r="7" spans="1:7" x14ac:dyDescent="0.25">
      <c r="A7" s="8">
        <v>0.05</v>
      </c>
      <c r="B7" s="11" t="s">
        <v>16</v>
      </c>
      <c r="C7" s="14" t="s">
        <v>27</v>
      </c>
      <c r="D7" s="1">
        <v>0.21</v>
      </c>
      <c r="F7" t="s">
        <v>44</v>
      </c>
      <c r="G7" t="s">
        <v>55</v>
      </c>
    </row>
    <row r="8" spans="1:7" x14ac:dyDescent="0.25">
      <c r="A8" s="7" t="s">
        <v>4</v>
      </c>
      <c r="B8" s="11" t="s">
        <v>18</v>
      </c>
      <c r="C8" s="14">
        <v>6840</v>
      </c>
      <c r="D8" t="s">
        <v>37</v>
      </c>
      <c r="F8" t="s">
        <v>50</v>
      </c>
      <c r="G8" s="1">
        <v>0.5</v>
      </c>
    </row>
    <row r="9" spans="1:7" x14ac:dyDescent="0.25">
      <c r="A9" s="7">
        <v>90</v>
      </c>
      <c r="B9" s="11" t="s">
        <v>19</v>
      </c>
      <c r="C9" s="14" t="s">
        <v>28</v>
      </c>
      <c r="D9" s="1">
        <v>0.4</v>
      </c>
      <c r="F9" s="6">
        <f>(2500+10%*D15)*(1+D19+D17)</f>
        <v>19849.816588800004</v>
      </c>
      <c r="G9" t="s">
        <v>51</v>
      </c>
    </row>
    <row r="10" spans="1:7" x14ac:dyDescent="0.25">
      <c r="A10" s="7" t="s">
        <v>5</v>
      </c>
      <c r="B10" s="11" t="s">
        <v>20</v>
      </c>
      <c r="C10" s="16">
        <v>0.12</v>
      </c>
      <c r="D10" t="s">
        <v>38</v>
      </c>
      <c r="F10" t="s">
        <v>46</v>
      </c>
      <c r="G10" t="s">
        <v>56</v>
      </c>
    </row>
    <row r="11" spans="1:7" x14ac:dyDescent="0.25">
      <c r="A11" s="7">
        <v>1099</v>
      </c>
      <c r="B11" s="11" t="s">
        <v>8</v>
      </c>
      <c r="C11" s="14" t="s">
        <v>29</v>
      </c>
      <c r="D11" t="s">
        <v>8</v>
      </c>
      <c r="F11" s="6" t="s">
        <v>47</v>
      </c>
      <c r="G11" s="6">
        <f>G2*12%</f>
        <v>6395.877120000001</v>
      </c>
    </row>
    <row r="12" spans="1:7" x14ac:dyDescent="0.25">
      <c r="A12" s="7" t="s">
        <v>6</v>
      </c>
      <c r="B12" s="12">
        <v>0.26400000000000001</v>
      </c>
      <c r="C12" s="16">
        <v>0.3</v>
      </c>
      <c r="D12" s="5">
        <f>(D9+C12)*50%</f>
        <v>0.35</v>
      </c>
      <c r="F12" t="s">
        <v>45</v>
      </c>
      <c r="G12" t="s">
        <v>57</v>
      </c>
    </row>
    <row r="13" spans="1:7" x14ac:dyDescent="0.25">
      <c r="A13" s="7" t="s">
        <v>7</v>
      </c>
      <c r="B13" s="11" t="s">
        <v>21</v>
      </c>
      <c r="D13" t="s">
        <v>39</v>
      </c>
      <c r="F13" s="6">
        <f>(1500+5%*D15)*(1+(D19+D17-100%))</f>
        <v>6887.2594944000002</v>
      </c>
      <c r="G13" s="6">
        <f>G2*6%</f>
        <v>3197.9385600000005</v>
      </c>
    </row>
    <row r="14" spans="1:7" x14ac:dyDescent="0.25">
      <c r="A14" s="8">
        <v>0.12</v>
      </c>
      <c r="B14" s="13">
        <v>0.1</v>
      </c>
      <c r="C14" t="s">
        <v>41</v>
      </c>
      <c r="D14" t="s">
        <v>40</v>
      </c>
      <c r="F14" t="s">
        <v>46</v>
      </c>
    </row>
    <row r="15" spans="1:7" x14ac:dyDescent="0.25">
      <c r="A15" s="7" t="s">
        <v>9</v>
      </c>
      <c r="B15" s="11" t="s">
        <v>22</v>
      </c>
      <c r="C15" s="6">
        <f>A5+A5*C6+C8+A5*B6+A5*A14</f>
        <v>38993.888000000006</v>
      </c>
      <c r="D15" s="6">
        <f>A5+A5*C6+C8+A5*B6+A5*A14+A5*D5+D3</f>
        <v>44942.97600000001</v>
      </c>
      <c r="F15" s="6" t="s">
        <v>48</v>
      </c>
    </row>
    <row r="16" spans="1:7" x14ac:dyDescent="0.25">
      <c r="A16" s="8">
        <v>0.12</v>
      </c>
      <c r="B16" s="11" t="s">
        <v>7</v>
      </c>
      <c r="C16" t="s">
        <v>31</v>
      </c>
      <c r="D16" t="s">
        <v>3</v>
      </c>
      <c r="F16" t="s">
        <v>49</v>
      </c>
    </row>
    <row r="17" spans="1:11" x14ac:dyDescent="0.25">
      <c r="B17" s="12">
        <v>0.22800000000000001</v>
      </c>
      <c r="C17" s="5">
        <f>5%+B4+C10</f>
        <v>0.53</v>
      </c>
      <c r="D17" s="1">
        <f>D7+C17</f>
        <v>0.74</v>
      </c>
      <c r="F17" s="1">
        <f>D19+D17-100%</f>
        <v>0.83799999999999986</v>
      </c>
    </row>
    <row r="18" spans="1:11" x14ac:dyDescent="0.25">
      <c r="A18" t="s">
        <v>10</v>
      </c>
      <c r="B18" s="11" t="s">
        <v>23</v>
      </c>
      <c r="C18" t="s">
        <v>32</v>
      </c>
      <c r="D18" t="s">
        <v>42</v>
      </c>
    </row>
    <row r="19" spans="1:11" x14ac:dyDescent="0.25">
      <c r="A19" s="2" t="s">
        <v>17</v>
      </c>
      <c r="B19" s="11">
        <v>2280</v>
      </c>
      <c r="C19" s="5">
        <f>C4+A16</f>
        <v>0.748</v>
      </c>
      <c r="D19" s="5">
        <f>C19+D12</f>
        <v>1.0979999999999999</v>
      </c>
    </row>
    <row r="20" spans="1:11" ht="69" x14ac:dyDescent="0.25">
      <c r="A20" s="3" t="s">
        <v>11</v>
      </c>
    </row>
    <row r="21" spans="1:11" ht="110.4" x14ac:dyDescent="0.25">
      <c r="A21" s="3" t="s">
        <v>12</v>
      </c>
      <c r="B21" s="4" t="s">
        <v>13</v>
      </c>
    </row>
    <row r="22" spans="1:11" x14ac:dyDescent="0.25">
      <c r="C22" t="s">
        <v>58</v>
      </c>
      <c r="D22" t="s">
        <v>63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C23" t="s">
        <v>59</v>
      </c>
      <c r="D23" s="6">
        <f>C34*1.5</f>
        <v>7388.0252424195787</v>
      </c>
      <c r="E23">
        <v>1</v>
      </c>
      <c r="F23">
        <v>0</v>
      </c>
      <c r="G23">
        <v>1.5</v>
      </c>
      <c r="H23" s="18">
        <f t="shared" ref="H23:H31" si="0">$F$33*G23</f>
        <v>7388.0252424195787</v>
      </c>
      <c r="I23" s="6">
        <f>H23</f>
        <v>7388.0252424195787</v>
      </c>
      <c r="J23" s="6">
        <f t="shared" ref="J23:J31" si="1">$F$34-I23</f>
        <v>45910.950757580431</v>
      </c>
      <c r="K23" t="str">
        <f>IF(J23&lt;=0,"死亡","存活")</f>
        <v>存活</v>
      </c>
    </row>
    <row r="24" spans="1:11" x14ac:dyDescent="0.25">
      <c r="C24">
        <v>100</v>
      </c>
      <c r="D24" s="6">
        <f>C35*1.5</f>
        <v>7570.9779179810721</v>
      </c>
      <c r="E24">
        <f>E23+1</f>
        <v>2</v>
      </c>
      <c r="F24">
        <f t="shared" ref="F24:F31" si="2">F23+$F$35</f>
        <v>0.2</v>
      </c>
      <c r="G24">
        <f>IF(F24-F23&lt;2, G23+0.5, 1.5)</f>
        <v>2</v>
      </c>
      <c r="H24" s="6">
        <f t="shared" si="0"/>
        <v>9850.700323226105</v>
      </c>
      <c r="I24" s="6">
        <f>H23+H24</f>
        <v>17238.725565645684</v>
      </c>
      <c r="J24" s="6">
        <f t="shared" si="1"/>
        <v>36060.250434354326</v>
      </c>
      <c r="K24" t="str">
        <f>IF(J24&lt;=0,"死亡","存活")</f>
        <v>存活</v>
      </c>
    </row>
    <row r="25" spans="1:11" x14ac:dyDescent="0.25">
      <c r="C25">
        <v>110</v>
      </c>
      <c r="D25" s="6">
        <f>C36*1.5</f>
        <v>7745.3425260378463</v>
      </c>
      <c r="E25">
        <f t="shared" ref="E25:E31" si="3">E24+1</f>
        <v>3</v>
      </c>
      <c r="F25">
        <f t="shared" si="2"/>
        <v>0.4</v>
      </c>
      <c r="G25">
        <f t="shared" ref="G25:G27" si="4">IF(F25-F24&lt;2, G24+0.5, 1.5)</f>
        <v>2.5</v>
      </c>
      <c r="H25" s="6">
        <f t="shared" si="0"/>
        <v>12313.375404032631</v>
      </c>
      <c r="I25" s="6">
        <f>H24+H25+H23</f>
        <v>29552.100969678315</v>
      </c>
      <c r="J25" s="6">
        <f t="shared" si="1"/>
        <v>23746.875030321695</v>
      </c>
      <c r="K25" t="str">
        <f t="shared" ref="K25:K27" si="5">IF(J25&lt;=0,"死亡","存活")</f>
        <v>存活</v>
      </c>
    </row>
    <row r="26" spans="1:11" x14ac:dyDescent="0.25">
      <c r="C26">
        <v>120</v>
      </c>
      <c r="E26">
        <f t="shared" si="3"/>
        <v>4</v>
      </c>
      <c r="F26">
        <f t="shared" si="2"/>
        <v>0.60000000000000009</v>
      </c>
      <c r="G26">
        <f t="shared" si="4"/>
        <v>3</v>
      </c>
      <c r="H26" s="6">
        <f t="shared" si="0"/>
        <v>14776.050484839157</v>
      </c>
      <c r="I26" s="6">
        <f>H23+H24+H25+H26</f>
        <v>44328.151454517472</v>
      </c>
      <c r="J26" s="6">
        <f t="shared" si="1"/>
        <v>8970.8245454825374</v>
      </c>
      <c r="K26" t="str">
        <f t="shared" si="5"/>
        <v>存活</v>
      </c>
    </row>
    <row r="27" spans="1:11" x14ac:dyDescent="0.25">
      <c r="C27" t="s">
        <v>60</v>
      </c>
      <c r="E27">
        <f t="shared" si="3"/>
        <v>5</v>
      </c>
      <c r="F27">
        <f t="shared" si="2"/>
        <v>0.8</v>
      </c>
      <c r="G27">
        <f t="shared" si="4"/>
        <v>3.5</v>
      </c>
      <c r="H27" s="6">
        <f t="shared" si="0"/>
        <v>17238.725565645684</v>
      </c>
      <c r="I27" s="6">
        <f>H23+H24+H25+H26+H27</f>
        <v>61566.877020163156</v>
      </c>
      <c r="J27" s="6">
        <f t="shared" si="1"/>
        <v>-8267.9010201631463</v>
      </c>
      <c r="K27" t="str">
        <f t="shared" si="5"/>
        <v>死亡</v>
      </c>
    </row>
    <row r="28" spans="1:11" x14ac:dyDescent="0.25">
      <c r="C28" s="6">
        <f>G4</f>
        <v>1648.5</v>
      </c>
      <c r="E28">
        <f t="shared" si="3"/>
        <v>6</v>
      </c>
      <c r="F28">
        <f t="shared" si="2"/>
        <v>1</v>
      </c>
      <c r="G28">
        <f t="shared" ref="G28:G31" si="6">IF(F28-F27&lt;2, G27+0.5, 1.5)</f>
        <v>4</v>
      </c>
      <c r="H28" s="6">
        <f t="shared" si="0"/>
        <v>19701.40064645221</v>
      </c>
      <c r="I28" s="6">
        <f>H23+H24+H25+H26+H27+表1[[#This Row],[单次伤害]]</f>
        <v>81268.277666615366</v>
      </c>
      <c r="J28" s="6">
        <f t="shared" si="1"/>
        <v>-27969.301666615356</v>
      </c>
      <c r="K28" t="str">
        <f t="shared" ref="K28:K31" si="7">IF(J28&lt;=0,"死亡","存活")</f>
        <v>死亡</v>
      </c>
    </row>
    <row r="29" spans="1:11" x14ac:dyDescent="0.25">
      <c r="C29" t="s">
        <v>61</v>
      </c>
      <c r="E29">
        <f t="shared" si="3"/>
        <v>7</v>
      </c>
      <c r="F29">
        <f t="shared" si="2"/>
        <v>1.2</v>
      </c>
      <c r="G29">
        <f t="shared" si="6"/>
        <v>4.5</v>
      </c>
      <c r="H29" s="6">
        <f t="shared" si="0"/>
        <v>22164.075727258736</v>
      </c>
      <c r="I29" s="6">
        <f>H23+H24+H25+H26+H27+H28+表1[[#This Row],[单次伤害]]</f>
        <v>103432.3533938741</v>
      </c>
      <c r="J29" s="6">
        <f t="shared" si="1"/>
        <v>-50133.377393874092</v>
      </c>
      <c r="K29" t="str">
        <f t="shared" si="7"/>
        <v>死亡</v>
      </c>
    </row>
    <row r="30" spans="1:11" x14ac:dyDescent="0.25">
      <c r="C30" s="17">
        <f>1-C28/(C28+800+8*C24)</f>
        <v>0.49253501616130524</v>
      </c>
      <c r="E30">
        <f t="shared" si="3"/>
        <v>8</v>
      </c>
      <c r="F30">
        <f t="shared" si="2"/>
        <v>1.4</v>
      </c>
      <c r="G30">
        <f t="shared" si="6"/>
        <v>5</v>
      </c>
      <c r="H30" s="6">
        <f t="shared" si="0"/>
        <v>24626.750808065262</v>
      </c>
      <c r="I30" s="6">
        <f>H23+H24+H25+H26+H27+H28+H29+表1[[#This Row],[单次伤害]]</f>
        <v>128059.10420193936</v>
      </c>
      <c r="J30" s="6">
        <f t="shared" si="1"/>
        <v>-74760.128201939355</v>
      </c>
      <c r="K30" t="str">
        <f t="shared" si="7"/>
        <v>死亡</v>
      </c>
    </row>
    <row r="31" spans="1:11" x14ac:dyDescent="0.25">
      <c r="C31" s="17">
        <f>1-C28/(C28+800+8*C25)</f>
        <v>0.50473186119873814</v>
      </c>
      <c r="E31">
        <f t="shared" si="3"/>
        <v>9</v>
      </c>
      <c r="F31">
        <f t="shared" si="2"/>
        <v>1.5999999999999999</v>
      </c>
      <c r="G31">
        <f t="shared" si="6"/>
        <v>5.5</v>
      </c>
      <c r="H31" s="6">
        <f t="shared" si="0"/>
        <v>27089.425888871789</v>
      </c>
      <c r="I31" s="6">
        <f>H23+H24+H25+H26+H27+H28+H29+H30+表1[[#This Row],[单次伤害]]</f>
        <v>155148.53009081114</v>
      </c>
      <c r="J31" s="6">
        <f t="shared" si="1"/>
        <v>-101849.55409081113</v>
      </c>
      <c r="K31" t="str">
        <f t="shared" si="7"/>
        <v>死亡</v>
      </c>
    </row>
    <row r="32" spans="1:11" x14ac:dyDescent="0.25">
      <c r="C32" s="17">
        <f>1-C28/(C28+800+8*C26)</f>
        <v>0.51635616840252307</v>
      </c>
    </row>
    <row r="33" spans="3:9" x14ac:dyDescent="0.25">
      <c r="C33" t="s">
        <v>62</v>
      </c>
      <c r="E33" s="14" t="s">
        <v>64</v>
      </c>
      <c r="F33" s="20">
        <f>C34</f>
        <v>4925.3501616130525</v>
      </c>
      <c r="H33" s="19" t="s">
        <v>75</v>
      </c>
      <c r="I33" s="19" t="s">
        <v>74</v>
      </c>
    </row>
    <row r="34" spans="3:9" x14ac:dyDescent="0.25">
      <c r="C34" s="6">
        <f>10000*C30</f>
        <v>4925.3501616130525</v>
      </c>
      <c r="E34" s="14" t="s">
        <v>65</v>
      </c>
      <c r="F34" s="20">
        <f>G2</f>
        <v>53298.97600000001</v>
      </c>
    </row>
    <row r="35" spans="3:9" x14ac:dyDescent="0.25">
      <c r="C35" s="6">
        <f>10000*C31</f>
        <v>5047.3186119873817</v>
      </c>
      <c r="E35" s="14" t="s">
        <v>66</v>
      </c>
      <c r="F35" s="14">
        <v>0.2</v>
      </c>
      <c r="H35" s="19" t="s">
        <v>76</v>
      </c>
    </row>
    <row r="36" spans="3:9" x14ac:dyDescent="0.25">
      <c r="C36" s="6">
        <f>10000*C32</f>
        <v>5163.5616840252305</v>
      </c>
      <c r="H36" s="19" t="s">
        <v>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Hansrican lv</dc:creator>
  <cp:lastModifiedBy>Hansrican lv</cp:lastModifiedBy>
  <dcterms:created xsi:type="dcterms:W3CDTF">2015-06-05T18:19:34Z</dcterms:created>
  <dcterms:modified xsi:type="dcterms:W3CDTF">2026-09-06T10:47:25Z</dcterms:modified>
</cp:coreProperties>
</file>